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50602_Works\250602_GitLab\test_hello_world_arduino_uno_r4_pio\hello_json_led_adc\experimental_calibration\"/>
    </mc:Choice>
  </mc:AlternateContent>
  <xr:revisionPtr revIDLastSave="0" documentId="13_ncr:1_{B2006741-FA06-4A03-A9C2-F8F75E65C426}" xr6:coauthVersionLast="47" xr6:coauthVersionMax="47" xr10:uidLastSave="{00000000-0000-0000-0000-000000000000}"/>
  <bookViews>
    <workbookView xWindow="-9870" yWindow="-21780" windowWidth="38640" windowHeight="21120" xr2:uid="{D345CB81-0C6C-4F89-822B-96A82DAA1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3" i="1"/>
  <c r="I2" i="1"/>
  <c r="H2" i="1"/>
  <c r="I3" i="1"/>
  <c r="I4" i="1"/>
  <c r="I5" i="1"/>
  <c r="I6" i="1"/>
  <c r="I7" i="1"/>
  <c r="I8" i="1"/>
  <c r="I9" i="1"/>
  <c r="I10" i="1"/>
  <c r="I11" i="1"/>
  <c r="I12" i="1"/>
  <c r="H3" i="1"/>
  <c r="H4" i="1"/>
  <c r="H5" i="1"/>
  <c r="H6" i="1"/>
  <c r="H7" i="1"/>
  <c r="H8" i="1"/>
  <c r="H9" i="1"/>
  <c r="H10" i="1"/>
  <c r="H11" i="1"/>
  <c r="H12" i="1"/>
  <c r="F3" i="1"/>
  <c r="F4" i="1"/>
  <c r="F5" i="1"/>
  <c r="F6" i="1"/>
  <c r="F7" i="1"/>
  <c r="F8" i="1"/>
  <c r="F9" i="1"/>
  <c r="F10" i="1"/>
  <c r="F11" i="1"/>
  <c r="F12" i="1"/>
  <c r="F2" i="1"/>
  <c r="G3" i="1"/>
  <c r="G4" i="1"/>
  <c r="G5" i="1"/>
  <c r="G6" i="1"/>
  <c r="G7" i="1"/>
  <c r="G8" i="1"/>
  <c r="G9" i="1"/>
  <c r="G10" i="1"/>
  <c r="G11" i="1"/>
  <c r="G12" i="1"/>
  <c r="G2" i="1"/>
  <c r="C3" i="1"/>
  <c r="C4" i="1"/>
  <c r="C5" i="1"/>
  <c r="C6" i="1"/>
  <c r="C7" i="1"/>
  <c r="C8" i="1"/>
  <c r="C9" i="1"/>
  <c r="C10" i="1"/>
  <c r="C11" i="1"/>
  <c r="C12" i="1"/>
  <c r="C2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<sst xmlns="http://schemas.openxmlformats.org/spreadsheetml/2006/main" count="12" uniqueCount="12">
  <si>
    <t>14bit A/D ideal</t>
    <phoneticPr fontId="1"/>
  </si>
  <si>
    <t>A0 experimental</t>
    <phoneticPr fontId="1"/>
  </si>
  <si>
    <t>A1 experimental</t>
    <phoneticPr fontId="1"/>
  </si>
  <si>
    <t>divided 47k Ohm + 20k Ohm</t>
    <phoneticPr fontId="1"/>
  </si>
  <si>
    <t>voltage [V]</t>
    <phoneticPr fontId="1"/>
  </si>
  <si>
    <t>divided voltage [V]</t>
    <phoneticPr fontId="1"/>
  </si>
  <si>
    <t>ideal - A0 experimental</t>
    <phoneticPr fontId="1"/>
  </si>
  <si>
    <t>ideal - A1 experimental</t>
    <phoneticPr fontId="1"/>
  </si>
  <si>
    <t>A0 calibrated</t>
    <phoneticPr fontId="1"/>
  </si>
  <si>
    <t>A1 calibrated</t>
    <phoneticPr fontId="1"/>
  </si>
  <si>
    <t>978.15/1049.1+14.636</t>
    <phoneticPr fontId="1"/>
  </si>
  <si>
    <t>978.15/1051.5+13.545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</si>
</sst>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0_ "/>
    <numFmt numFmtId="178" formatCode="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14bit A/D ideal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Sheet1!$A$2:$A$14</c:f>
              <c:numCache>
                <c:formatCode>0.00_ 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Sheet1!$C$2:$C$14</c:f>
              <c:numCache>
                <c:formatCode>0_ </c:formatCode>
                <c:ptCount val="13"/>
                <c:pt idx="0">
                  <c:v>0</c:v>
                </c:pt>
                <c:pt idx="1">
                  <c:v>978.14925373134315</c:v>
                </c:pt>
                <c:pt idx="2">
                  <c:v>1956.2985074626863</c:v>
                </c:pt>
                <c:pt idx="3">
                  <c:v>2934.4477611940301</c:v>
                </c:pt>
                <c:pt idx="4">
                  <c:v>3912.5970149253726</c:v>
                </c:pt>
                <c:pt idx="5">
                  <c:v>4890.7462686567169</c:v>
                </c:pt>
                <c:pt idx="6">
                  <c:v>5868.8955223880603</c:v>
                </c:pt>
                <c:pt idx="7">
                  <c:v>6847.0447761194027</c:v>
                </c:pt>
                <c:pt idx="8">
                  <c:v>7825.1940298507452</c:v>
                </c:pt>
                <c:pt idx="9">
                  <c:v>8803.3432835820895</c:v>
                </c:pt>
                <c:pt idx="10">
                  <c:v>9781.4925373134338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F7-4247-B685-509CA5FC5EB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A0 experimental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Sheet1!$A$2:$A$14</c:f>
              <c:numCache>
                <c:formatCode>0.00_ 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Sheet1!$D$2:$D$14</c:f>
              <c:numCache>
                <c:formatCode>General</c:formatCode>
                <c:ptCount val="13"/>
                <c:pt idx="0">
                  <c:v>0</c:v>
                </c:pt>
                <c:pt idx="1">
                  <c:v>1031</c:v>
                </c:pt>
                <c:pt idx="2">
                  <c:v>2085</c:v>
                </c:pt>
                <c:pt idx="3">
                  <c:v>3137</c:v>
                </c:pt>
                <c:pt idx="4">
                  <c:v>4190</c:v>
                </c:pt>
                <c:pt idx="5">
                  <c:v>5244</c:v>
                </c:pt>
                <c:pt idx="6">
                  <c:v>6295</c:v>
                </c:pt>
                <c:pt idx="7">
                  <c:v>7350</c:v>
                </c:pt>
                <c:pt idx="8">
                  <c:v>8401</c:v>
                </c:pt>
                <c:pt idx="9">
                  <c:v>9450</c:v>
                </c:pt>
                <c:pt idx="10">
                  <c:v>10503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F7-4247-B685-509CA5FC5EB5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A1 experimental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Sheet1!$A$2:$A$14</c:f>
              <c:numCache>
                <c:formatCode>0.00_ 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1028</c:v>
                </c:pt>
                <c:pt idx="2">
                  <c:v>2080</c:v>
                </c:pt>
                <c:pt idx="3">
                  <c:v>3130</c:v>
                </c:pt>
                <c:pt idx="4">
                  <c:v>4178</c:v>
                </c:pt>
                <c:pt idx="5">
                  <c:v>5227</c:v>
                </c:pt>
                <c:pt idx="6">
                  <c:v>6278</c:v>
                </c:pt>
                <c:pt idx="7">
                  <c:v>7331</c:v>
                </c:pt>
                <c:pt idx="8">
                  <c:v>8380</c:v>
                </c:pt>
                <c:pt idx="9">
                  <c:v>9428</c:v>
                </c:pt>
                <c:pt idx="10">
                  <c:v>10480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F7-4247-B685-509CA5FC5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112592"/>
        <c:axId val="1265114032"/>
      </c:scatterChart>
      <c:valAx>
        <c:axId val="12651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5114032"/>
        <c:crosses val="autoZero"/>
        <c:crossBetween val="midCat"/>
      </c:valAx>
      <c:valAx>
        <c:axId val="12651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51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14bit A/D ideal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Sheet1!$A$2:$A$14</c:f>
              <c:numCache>
                <c:formatCode>0.00_ 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Sheet1!$C$2:$C$14</c:f>
              <c:numCache>
                <c:formatCode>0_ </c:formatCode>
                <c:ptCount val="13"/>
                <c:pt idx="0">
                  <c:v>0</c:v>
                </c:pt>
                <c:pt idx="1">
                  <c:v>978.14925373134315</c:v>
                </c:pt>
                <c:pt idx="2">
                  <c:v>1956.2985074626863</c:v>
                </c:pt>
                <c:pt idx="3">
                  <c:v>2934.4477611940301</c:v>
                </c:pt>
                <c:pt idx="4">
                  <c:v>3912.5970149253726</c:v>
                </c:pt>
                <c:pt idx="5">
                  <c:v>4890.7462686567169</c:v>
                </c:pt>
                <c:pt idx="6">
                  <c:v>5868.8955223880603</c:v>
                </c:pt>
                <c:pt idx="7">
                  <c:v>6847.0447761194027</c:v>
                </c:pt>
                <c:pt idx="8">
                  <c:v>7825.1940298507452</c:v>
                </c:pt>
                <c:pt idx="9">
                  <c:v>8803.3432835820895</c:v>
                </c:pt>
                <c:pt idx="10">
                  <c:v>9781.4925373134338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65-44E6-8864-E8958C8EE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854080"/>
        <c:axId val="2070295280"/>
      </c:scatterChart>
      <c:valAx>
        <c:axId val="206285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0295280"/>
        <c:crosses val="autoZero"/>
        <c:crossBetween val="midCat"/>
      </c:valAx>
      <c:valAx>
        <c:axId val="20702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285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A0 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Sheet1!$A$2:$A$14</c:f>
              <c:numCache>
                <c:formatCode>0.00_ 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Sheet1!$D$2:$D$14</c:f>
              <c:numCache>
                <c:formatCode>General</c:formatCode>
                <c:ptCount val="13"/>
                <c:pt idx="0">
                  <c:v>0</c:v>
                </c:pt>
                <c:pt idx="1">
                  <c:v>1031</c:v>
                </c:pt>
                <c:pt idx="2">
                  <c:v>2085</c:v>
                </c:pt>
                <c:pt idx="3">
                  <c:v>3137</c:v>
                </c:pt>
                <c:pt idx="4">
                  <c:v>4190</c:v>
                </c:pt>
                <c:pt idx="5">
                  <c:v>5244</c:v>
                </c:pt>
                <c:pt idx="6">
                  <c:v>6295</c:v>
                </c:pt>
                <c:pt idx="7">
                  <c:v>7350</c:v>
                </c:pt>
                <c:pt idx="8">
                  <c:v>8401</c:v>
                </c:pt>
                <c:pt idx="9">
                  <c:v>9450</c:v>
                </c:pt>
                <c:pt idx="10">
                  <c:v>10503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65-40DC-9EEC-BF6CFC088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140527"/>
        <c:axId val="1216157327"/>
      </c:scatterChart>
      <c:valAx>
        <c:axId val="121614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6157327"/>
        <c:crosses val="autoZero"/>
        <c:crossBetween val="midCat"/>
      </c:valAx>
      <c:valAx>
        <c:axId val="121615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614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A1 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Sheet1!$A$2:$A$14</c:f>
              <c:numCache>
                <c:formatCode>0.00_ 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1028</c:v>
                </c:pt>
                <c:pt idx="2">
                  <c:v>2080</c:v>
                </c:pt>
                <c:pt idx="3">
                  <c:v>3130</c:v>
                </c:pt>
                <c:pt idx="4">
                  <c:v>4178</c:v>
                </c:pt>
                <c:pt idx="5">
                  <c:v>5227</c:v>
                </c:pt>
                <c:pt idx="6">
                  <c:v>6278</c:v>
                </c:pt>
                <c:pt idx="7">
                  <c:v>7331</c:v>
                </c:pt>
                <c:pt idx="8">
                  <c:v>8380</c:v>
                </c:pt>
                <c:pt idx="9">
                  <c:v>9428</c:v>
                </c:pt>
                <c:pt idx="10">
                  <c:v>10480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E8-47F3-AB3C-CBE78963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172687"/>
        <c:axId val="1216177487"/>
      </c:scatterChart>
      <c:valAx>
        <c:axId val="12161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6177487"/>
        <c:crosses val="autoZero"/>
        <c:crossBetween val="midCat"/>
      </c:valAx>
      <c:valAx>
        <c:axId val="12161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617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9524</xdr:rowOff>
    </xdr:from>
    <xdr:to>
      <xdr:col>9</xdr:col>
      <xdr:colOff>390524</xdr:colOff>
      <xdr:row>56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8B311-2300-A9B6-A840-27B1B954A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619125</xdr:colOff>
      <xdr:row>15</xdr:row>
      <xdr:rowOff>19050</xdr:rowOff>
    </xdr:from>
    <xdr:to>
      <xdr:col>5</xdr:col>
      <xdr:colOff>523875</xdr:colOff>
      <xdr:row>26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C6EF0F-752B-B8A6-1114-A3E151E4D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1566862</xdr:colOff>
      <xdr:row>15</xdr:row>
      <xdr:rowOff>95250</xdr:rowOff>
    </xdr:from>
    <xdr:to>
      <xdr:col>10</xdr:col>
      <xdr:colOff>290512</xdr:colOff>
      <xdr:row>26</xdr:row>
      <xdr:rowOff>219075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56C17A-E079-9E7C-6DDD-263887DB3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114300</xdr:colOff>
      <xdr:row>15</xdr:row>
      <xdr:rowOff>47625</xdr:rowOff>
    </xdr:from>
    <xdr:to>
      <xdr:col>17</xdr:col>
      <xdr:colOff>571500</xdr:colOff>
      <xdr:row>26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EC0DF5-1B4B-635B-6109-FF3ABA70A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BED0-DAF5-4646-8725-5D22D3FF76DA}">
  <dimension ref="A1:K14"/>
  <sheetViews>
    <sheetView tabSelected="1" workbookViewId="0">
      <selection activeCell="M11" sqref="M11"/>
    </sheetView>
  </sheetViews>
  <sheetFormatPr defaultRowHeight="18.75" x14ac:dyDescent="0.4"/>
  <cols>
    <col min="1" max="1" width="11.25" style="1" customWidth="1"/>
    <col min="2" max="2" width="17.5" style="2" customWidth="1"/>
    <col min="3" max="3" width="14.25" style="3" customWidth="1"/>
    <col min="4" max="5" width="14.75" customWidth="1"/>
    <col min="6" max="7" width="21.375" customWidth="1"/>
    <col min="8" max="9" width="12.5" style="3" customWidth="1"/>
    <col min="10" max="10" width="14.375" customWidth="1"/>
  </cols>
  <sheetData>
    <row r="1" spans="1:11" x14ac:dyDescent="0.4">
      <c r="A1" s="1" t="s">
        <v>4</v>
      </c>
      <c r="B1" s="2" t="s">
        <v>5</v>
      </c>
      <c r="C1" s="3" t="s">
        <v>0</v>
      </c>
      <c r="D1" t="s">
        <v>1</v>
      </c>
      <c r="E1" t="s">
        <v>2</v>
      </c>
      <c r="F1" t="s">
        <v>6</v>
      </c>
      <c r="G1" t="s">
        <v>7</v>
      </c>
      <c r="H1" s="3" t="s">
        <v>8</v>
      </c>
      <c r="I1" s="3" t="s">
        <v>9</v>
      </c>
    </row>
    <row r="2" spans="1:11" x14ac:dyDescent="0.4">
      <c r="A2" s="1">
        <v>0</v>
      </c>
      <c r="B2" s="2">
        <f>A2*20000/(47000+20000)</f>
        <v>0</v>
      </c>
      <c r="C2" s="3">
        <f>B2/5*2^14</f>
        <v>0</v>
      </c>
      <c r="D2">
        <v>0</v>
      </c>
      <c r="E2">
        <v>0</v>
      </c>
      <c r="F2" s="3">
        <f>C2-D2</f>
        <v>0</v>
      </c>
      <c r="G2" s="3">
        <f>C2-E2</f>
        <v>0</v>
      </c>
      <c r="H2" s="3">
        <f>D2*978.15/1051.5+13.545</f>
        <v>13.545</v>
      </c>
      <c r="I2" s="3">
        <f>E2*978.15/1049.1+14.636</f>
        <v>14.635999999999999</v>
      </c>
    </row>
    <row r="3" spans="1:11" x14ac:dyDescent="0.4">
      <c r="A3" s="1">
        <v>1</v>
      </c>
      <c r="B3" s="2">
        <f t="shared" ref="B3:B12" si="0">A3*20000/(47000+20000)</f>
        <v>0.29850746268656714</v>
      </c>
      <c r="C3" s="3">
        <f t="shared" ref="C3:C12" si="1">B3/5*2^14</f>
        <v>978.14925373134315</v>
      </c>
      <c r="D3">
        <v>1031</v>
      </c>
      <c r="E3">
        <v>1028</v>
      </c>
      <c r="F3" s="3">
        <f t="shared" ref="F3:F12" si="2">C3-D3</f>
        <v>-52.850746268656849</v>
      </c>
      <c r="G3" s="3">
        <f t="shared" ref="G3:G12" si="3">C3-E3</f>
        <v>-49.850746268656849</v>
      </c>
      <c r="H3" s="3">
        <f t="shared" ref="H3:H12" si="4">D3*978.15/1051.5+13.545</f>
        <v>972.62502853067042</v>
      </c>
      <c r="I3" s="3">
        <f t="shared" ref="I3:I12" si="5">E3*978.15/1049.1+14.636</f>
        <v>973.11298026880183</v>
      </c>
      <c r="J3">
        <f>978.15/1051.5</f>
        <v>0.93024251069900143</v>
      </c>
      <c r="K3" t="s">
        <v>11</v>
      </c>
    </row>
    <row r="4" spans="1:11" x14ac:dyDescent="0.4">
      <c r="A4" s="1">
        <v>2</v>
      </c>
      <c r="B4" s="2">
        <f t="shared" si="0"/>
        <v>0.59701492537313428</v>
      </c>
      <c r="C4" s="3">
        <f t="shared" si="1"/>
        <v>1956.2985074626863</v>
      </c>
      <c r="D4">
        <v>2085</v>
      </c>
      <c r="E4">
        <v>2080</v>
      </c>
      <c r="F4" s="3">
        <f t="shared" si="2"/>
        <v>-128.7014925373137</v>
      </c>
      <c r="G4" s="3">
        <f t="shared" si="3"/>
        <v>-123.7014925373137</v>
      </c>
      <c r="H4" s="3">
        <f t="shared" si="4"/>
        <v>1953.1006348074181</v>
      </c>
      <c r="I4" s="3">
        <f t="shared" si="5"/>
        <v>1953.9668550185875</v>
      </c>
      <c r="J4">
        <f>978.15/1049.1</f>
        <v>0.93237060337432087</v>
      </c>
      <c r="K4" t="s">
        <v>10</v>
      </c>
    </row>
    <row r="5" spans="1:11" x14ac:dyDescent="0.4">
      <c r="A5" s="1">
        <v>3</v>
      </c>
      <c r="B5" s="2">
        <f t="shared" si="0"/>
        <v>0.89552238805970152</v>
      </c>
      <c r="C5" s="3">
        <f t="shared" si="1"/>
        <v>2934.4477611940301</v>
      </c>
      <c r="D5">
        <v>3137</v>
      </c>
      <c r="E5">
        <v>3130</v>
      </c>
      <c r="F5" s="3">
        <f t="shared" si="2"/>
        <v>-202.55223880596986</v>
      </c>
      <c r="G5" s="3">
        <f t="shared" si="3"/>
        <v>-195.55223880596986</v>
      </c>
      <c r="H5" s="3">
        <f t="shared" si="4"/>
        <v>2931.7157560627675</v>
      </c>
      <c r="I5" s="3">
        <f t="shared" si="5"/>
        <v>2932.9559885616245</v>
      </c>
    </row>
    <row r="6" spans="1:11" x14ac:dyDescent="0.4">
      <c r="A6" s="1">
        <v>4</v>
      </c>
      <c r="B6" s="2">
        <f t="shared" si="0"/>
        <v>1.1940298507462686</v>
      </c>
      <c r="C6" s="3">
        <f t="shared" si="1"/>
        <v>3912.5970149253726</v>
      </c>
      <c r="D6">
        <v>4190</v>
      </c>
      <c r="E6">
        <v>4178</v>
      </c>
      <c r="F6" s="3">
        <f t="shared" si="2"/>
        <v>-277.4029850746274</v>
      </c>
      <c r="G6" s="3">
        <f t="shared" si="3"/>
        <v>-265.4029850746274</v>
      </c>
      <c r="H6" s="3">
        <f t="shared" si="4"/>
        <v>3911.2611198288159</v>
      </c>
      <c r="I6" s="3">
        <f t="shared" si="5"/>
        <v>3910.0803808979126</v>
      </c>
    </row>
    <row r="7" spans="1:11" x14ac:dyDescent="0.4">
      <c r="A7" s="1">
        <v>5</v>
      </c>
      <c r="B7" s="2">
        <f t="shared" si="0"/>
        <v>1.4925373134328359</v>
      </c>
      <c r="C7" s="3">
        <f t="shared" si="1"/>
        <v>4890.7462686567169</v>
      </c>
      <c r="D7">
        <v>5244</v>
      </c>
      <c r="E7">
        <v>5227</v>
      </c>
      <c r="F7" s="3">
        <f t="shared" si="2"/>
        <v>-353.25373134328311</v>
      </c>
      <c r="G7" s="3">
        <f t="shared" si="3"/>
        <v>-336.25373134328311</v>
      </c>
      <c r="H7" s="3">
        <f t="shared" si="4"/>
        <v>4891.7367261055633</v>
      </c>
      <c r="I7" s="3">
        <f t="shared" si="5"/>
        <v>4888.1371438375754</v>
      </c>
    </row>
    <row r="8" spans="1:11" x14ac:dyDescent="0.4">
      <c r="A8" s="1">
        <v>6</v>
      </c>
      <c r="B8" s="2">
        <f t="shared" si="0"/>
        <v>1.791044776119403</v>
      </c>
      <c r="C8" s="3">
        <f t="shared" si="1"/>
        <v>5868.8955223880603</v>
      </c>
      <c r="D8">
        <v>6295</v>
      </c>
      <c r="E8">
        <v>6278</v>
      </c>
      <c r="F8" s="3">
        <f t="shared" si="2"/>
        <v>-426.10447761193973</v>
      </c>
      <c r="G8" s="3">
        <f t="shared" si="3"/>
        <v>-409.10447761193973</v>
      </c>
      <c r="H8" s="3">
        <f t="shared" si="4"/>
        <v>5869.421604850214</v>
      </c>
      <c r="I8" s="3">
        <f t="shared" si="5"/>
        <v>5868.0586479839876</v>
      </c>
    </row>
    <row r="9" spans="1:11" x14ac:dyDescent="0.4">
      <c r="A9" s="1">
        <v>7</v>
      </c>
      <c r="B9" s="2">
        <f t="shared" si="0"/>
        <v>2.08955223880597</v>
      </c>
      <c r="C9" s="3">
        <f t="shared" si="1"/>
        <v>6847.0447761194027</v>
      </c>
      <c r="D9">
        <v>7350</v>
      </c>
      <c r="E9">
        <v>7331</v>
      </c>
      <c r="F9" s="3">
        <f t="shared" si="2"/>
        <v>-502.95522388059726</v>
      </c>
      <c r="G9" s="3">
        <f t="shared" si="3"/>
        <v>-483.95522388059726</v>
      </c>
      <c r="H9" s="3">
        <f t="shared" si="4"/>
        <v>6850.8274536376603</v>
      </c>
      <c r="I9" s="3">
        <f t="shared" si="5"/>
        <v>6849.8448933371465</v>
      </c>
    </row>
    <row r="10" spans="1:11" x14ac:dyDescent="0.4">
      <c r="A10" s="1">
        <v>8</v>
      </c>
      <c r="B10" s="2">
        <f t="shared" si="0"/>
        <v>2.3880597014925371</v>
      </c>
      <c r="C10" s="3">
        <f t="shared" si="1"/>
        <v>7825.1940298507452</v>
      </c>
      <c r="D10">
        <v>8401</v>
      </c>
      <c r="E10">
        <v>8380</v>
      </c>
      <c r="F10" s="3">
        <f t="shared" si="2"/>
        <v>-575.80597014925479</v>
      </c>
      <c r="G10" s="3">
        <f t="shared" si="3"/>
        <v>-554.80597014925479</v>
      </c>
      <c r="H10" s="3">
        <f t="shared" si="4"/>
        <v>7828.5123323823109</v>
      </c>
      <c r="I10" s="3">
        <f t="shared" si="5"/>
        <v>7827.9016562768102</v>
      </c>
    </row>
    <row r="11" spans="1:11" x14ac:dyDescent="0.4">
      <c r="A11" s="1">
        <v>9</v>
      </c>
      <c r="B11" s="2">
        <f t="shared" si="0"/>
        <v>2.6865671641791047</v>
      </c>
      <c r="C11" s="3">
        <f t="shared" si="1"/>
        <v>8803.3432835820895</v>
      </c>
      <c r="D11">
        <v>9450</v>
      </c>
      <c r="E11">
        <v>9428</v>
      </c>
      <c r="F11" s="3">
        <f t="shared" si="2"/>
        <v>-646.6567164179105</v>
      </c>
      <c r="G11" s="3">
        <f t="shared" si="3"/>
        <v>-624.6567164179105</v>
      </c>
      <c r="H11" s="3">
        <f t="shared" si="4"/>
        <v>8804.3367261055628</v>
      </c>
      <c r="I11" s="3">
        <f t="shared" si="5"/>
        <v>8805.0260486130974</v>
      </c>
    </row>
    <row r="12" spans="1:11" x14ac:dyDescent="0.4">
      <c r="A12" s="1">
        <v>10</v>
      </c>
      <c r="B12" s="2">
        <f t="shared" si="0"/>
        <v>2.9850746268656718</v>
      </c>
      <c r="C12" s="3">
        <f t="shared" si="1"/>
        <v>9781.4925373134338</v>
      </c>
      <c r="D12">
        <v>10503</v>
      </c>
      <c r="E12">
        <v>10480</v>
      </c>
      <c r="F12" s="3">
        <f t="shared" si="2"/>
        <v>-721.50746268656621</v>
      </c>
      <c r="G12" s="3">
        <f t="shared" si="3"/>
        <v>-698.50746268656621</v>
      </c>
      <c r="H12" s="3">
        <f t="shared" si="4"/>
        <v>9783.8820898716112</v>
      </c>
      <c r="I12" s="3">
        <f t="shared" si="5"/>
        <v>9785.8799233628833</v>
      </c>
    </row>
    <row r="14" spans="1:11" x14ac:dyDescent="0.4">
      <c r="B14" s="2" t="s">
        <v>3</v>
      </c>
      <c r="H14"/>
    </row>
  </sheetData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Yoshihiro Nakagawa</dc:creator>
  <cp:lastModifiedBy>Yoshihiro Nakagawa</cp:lastModifiedBy>
  <dcterms:created xsi:type="dcterms:W3CDTF">2025-11-14T09:07:45Z</dcterms:created>
  <dcterms:modified xsi:type="dcterms:W3CDTF">2025-11-14T09:46:35Z</dcterms:modified>
</cp:coreProperties>
</file>